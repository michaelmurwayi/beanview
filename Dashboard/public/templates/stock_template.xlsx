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IcjK7DQM9v8EiwCD8OupGvcbgMrMC8GPperfVB/NqQ="/>
    </ext>
  </extLst>
</workbook>
</file>

<file path=xl/sharedStrings.xml><?xml version="1.0" encoding="utf-8"?>
<sst xmlns="http://schemas.openxmlformats.org/spreadsheetml/2006/main" count="49" uniqueCount="47">
  <si>
    <t>STOCK SUMMARY</t>
  </si>
  <si>
    <t>Grower Code</t>
  </si>
  <si>
    <t>Mark</t>
  </si>
  <si>
    <t>Phone Number</t>
  </si>
  <si>
    <t>GRADE SUMMARY</t>
  </si>
  <si>
    <t>Weight(KGS)</t>
  </si>
  <si>
    <t>AA</t>
  </si>
  <si>
    <t>MH</t>
  </si>
  <si>
    <t>SB</t>
  </si>
  <si>
    <t>PB</t>
  </si>
  <si>
    <t>ML</t>
  </si>
  <si>
    <t xml:space="preserve"> </t>
  </si>
  <si>
    <t>AB</t>
  </si>
  <si>
    <t>NH</t>
  </si>
  <si>
    <t>C</t>
  </si>
  <si>
    <t>NL</t>
  </si>
  <si>
    <t>TT</t>
  </si>
  <si>
    <t>UG</t>
  </si>
  <si>
    <t>T</t>
  </si>
  <si>
    <t>UG 1</t>
  </si>
  <si>
    <t>HE</t>
  </si>
  <si>
    <t>UG 2</t>
  </si>
  <si>
    <t>E</t>
  </si>
  <si>
    <t>UG 3</t>
  </si>
  <si>
    <t>WEIGHT (KGs)</t>
  </si>
  <si>
    <t>Total Weight Recieved</t>
  </si>
  <si>
    <t>Total Weight Sold</t>
  </si>
  <si>
    <t>Total Weight Pending</t>
  </si>
  <si>
    <t>Total Weight Catalogued</t>
  </si>
  <si>
    <t>RED OUTTURN</t>
  </si>
  <si>
    <t>COFFEE STILL AT MILLER</t>
  </si>
  <si>
    <t>OUTTURN NO</t>
  </si>
  <si>
    <t>BULK OUTTURN</t>
  </si>
  <si>
    <t>MARK</t>
  </si>
  <si>
    <t xml:space="preserve">COFFEE TYPE </t>
  </si>
  <si>
    <t>GRADE</t>
  </si>
  <si>
    <t>BAGS</t>
  </si>
  <si>
    <t>POCKETS</t>
  </si>
  <si>
    <t>WEIGHT(KGs)</t>
  </si>
  <si>
    <t>SALE NO</t>
  </si>
  <si>
    <t>SEASON</t>
  </si>
  <si>
    <t>CERTIFICATE</t>
  </si>
  <si>
    <t>MILL</t>
  </si>
  <si>
    <t>W/H</t>
  </si>
  <si>
    <t>PRICE</t>
  </si>
  <si>
    <t>BUYER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</si>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</sst>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theme="0"/>
      <name val="Calibri"/>
    </font>
    <font/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u/>
      <sz val="11.0"/>
      <color rgb="FF0563C1"/>
      <name val="Calibri"/>
    </font>
    <font>
      <b/>
      <u/>
      <sz val="11.0"/>
      <color theme="9"/>
      <name val="Calibri"/>
    </font>
    <font>
      <b/>
      <sz val="11.0"/>
      <color theme="0"/>
      <name val="Calibri"/>
    </font>
    <font>
      <b/>
      <sz val="10.0"/>
      <color theme="1"/>
      <name val="Calibri"/>
    </font>
    <font>
      <b/>
      <sz val="11.0"/>
      <color rgb="FF000000"/>
      <name val="Calibri"/>
    </font>
    <font>
      <sz val="11.0"/>
      <color theme="0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B78453"/>
        <bgColor rgb="FFB78453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theme="7"/>
        <bgColor theme="7"/>
      </patternFill>
    </fill>
    <fill>
      <patternFill patternType="solid">
        <fgColor rgb="FFFFD965"/>
        <bgColor rgb="FFFFD965"/>
      </patternFill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C9A37D"/>
        <bgColor rgb="FFC9A37D"/>
      </patternFill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  <fill>
      <patternFill patternType="solid">
        <fgColor rgb="FFBDD6EE"/>
        <bgColor rgb="FFBDD6EE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3" fontId="3" numFmtId="0" xfId="0" applyAlignment="1" applyBorder="1" applyFill="1" applyFont="1">
      <alignment vertical="bottom"/>
    </xf>
    <xf borderId="3" fillId="3" fontId="3" numFmtId="0" xfId="0" applyAlignment="1" applyBorder="1" applyFont="1">
      <alignment horizontal="left" vertical="bottom"/>
    </xf>
    <xf borderId="3" fillId="0" fontId="4" numFmtId="0" xfId="0" applyAlignment="1" applyBorder="1" applyFont="1">
      <alignment vertical="bottom"/>
    </xf>
    <xf borderId="3" fillId="4" fontId="5" numFmtId="0" xfId="0" applyAlignment="1" applyBorder="1" applyFill="1" applyFont="1">
      <alignment vertical="bottom"/>
    </xf>
    <xf borderId="3" fillId="0" fontId="4" numFmtId="0" xfId="0" applyAlignment="1" applyBorder="1" applyFont="1">
      <alignment horizontal="center" vertical="bottom"/>
    </xf>
    <xf borderId="3" fillId="0" fontId="5" numFmtId="0" xfId="0" applyAlignment="1" applyBorder="1" applyFont="1">
      <alignment vertical="bottom"/>
    </xf>
    <xf borderId="3" fillId="0" fontId="6" numFmtId="0" xfId="0" applyAlignment="1" applyBorder="1" applyFont="1">
      <alignment horizontal="center" vertical="bottom"/>
    </xf>
    <xf borderId="3" fillId="0" fontId="7" numFmtId="0" xfId="0" applyAlignment="1" applyBorder="1" applyFont="1">
      <alignment vertical="bottom"/>
    </xf>
    <xf borderId="1" fillId="2" fontId="8" numFmtId="0" xfId="0" applyAlignment="1" applyBorder="1" applyFont="1">
      <alignment horizontal="center" vertical="bottom"/>
    </xf>
    <xf borderId="4" fillId="0" fontId="2" numFmtId="0" xfId="0" applyBorder="1" applyFont="1"/>
    <xf borderId="5" fillId="2" fontId="5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right" vertical="bottom"/>
    </xf>
    <xf borderId="5" fillId="2" fontId="4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3" fillId="5" fontId="5" numFmtId="0" xfId="0" applyAlignment="1" applyBorder="1" applyFill="1" applyFont="1">
      <alignment horizontal="right" vertical="bottom"/>
    </xf>
    <xf borderId="3" fillId="0" fontId="9" numFmtId="0" xfId="0" applyAlignment="1" applyBorder="1" applyFont="1">
      <alignment vertical="bottom"/>
    </xf>
    <xf borderId="3" fillId="6" fontId="5" numFmtId="0" xfId="0" applyAlignment="1" applyBorder="1" applyFill="1" applyFont="1">
      <alignment vertical="bottom"/>
    </xf>
    <xf borderId="3" fillId="7" fontId="9" numFmtId="0" xfId="0" applyAlignment="1" applyBorder="1" applyFill="1" applyFont="1">
      <alignment vertical="bottom"/>
    </xf>
    <xf borderId="3" fillId="8" fontId="5" numFmtId="0" xfId="0" applyAlignment="1" applyBorder="1" applyFill="1" applyFont="1">
      <alignment vertical="bottom"/>
    </xf>
    <xf borderId="3" fillId="9" fontId="9" numFmtId="0" xfId="0" applyAlignment="1" applyBorder="1" applyFill="1" applyFont="1">
      <alignment vertical="bottom"/>
    </xf>
    <xf borderId="3" fillId="10" fontId="5" numFmtId="0" xfId="0" applyAlignment="1" applyBorder="1" applyFill="1" applyFont="1">
      <alignment vertical="bottom"/>
    </xf>
    <xf borderId="3" fillId="11" fontId="9" numFmtId="0" xfId="0" applyAlignment="1" applyBorder="1" applyFill="1" applyFont="1">
      <alignment vertical="bottom"/>
    </xf>
    <xf borderId="3" fillId="12" fontId="5" numFmtId="0" xfId="0" applyAlignment="1" applyBorder="1" applyFill="1" applyFont="1">
      <alignment vertical="bottom"/>
    </xf>
    <xf borderId="3" fillId="13" fontId="9" numFmtId="0" xfId="0" applyAlignment="1" applyBorder="1" applyFill="1" applyFont="1">
      <alignment vertical="bottom"/>
    </xf>
    <xf borderId="3" fillId="3" fontId="10" numFmtId="0" xfId="0" applyAlignment="1" applyBorder="1" applyFont="1">
      <alignment horizontal="right" vertical="bottom"/>
    </xf>
    <xf borderId="3" fillId="3" fontId="5" numFmtId="0" xfId="0" applyAlignment="1" applyBorder="1" applyFont="1">
      <alignment vertical="bottom"/>
    </xf>
    <xf borderId="3" fillId="2" fontId="4" numFmtId="0" xfId="0" applyAlignment="1" applyBorder="1" applyFont="1">
      <alignment vertical="bottom"/>
    </xf>
    <xf borderId="3" fillId="14" fontId="5" numFmtId="0" xfId="0" applyAlignment="1" applyBorder="1" applyFill="1" applyFont="1">
      <alignment horizontal="center" vertical="bottom"/>
    </xf>
    <xf borderId="3" fillId="3" fontId="4" numFmtId="0" xfId="0" applyAlignment="1" applyBorder="1" applyFont="1">
      <alignment vertical="bottom"/>
    </xf>
    <xf borderId="3" fillId="15" fontId="4" numFmtId="0" xfId="0" applyAlignment="1" applyBorder="1" applyFill="1" applyFont="1">
      <alignment vertical="bottom"/>
    </xf>
    <xf borderId="3" fillId="0" fontId="4" numFmtId="0" xfId="0" applyAlignment="1" applyBorder="1" applyFont="1">
      <alignment horizontal="right" vertical="bottom"/>
    </xf>
    <xf borderId="3" fillId="16" fontId="5" numFmtId="0" xfId="0" applyAlignment="1" applyBorder="1" applyFill="1" applyFont="1">
      <alignment vertical="bottom"/>
    </xf>
    <xf borderId="3" fillId="17" fontId="4" numFmtId="0" xfId="0" applyAlignment="1" applyBorder="1" applyFill="1" applyFont="1">
      <alignment vertical="bottom"/>
    </xf>
    <xf borderId="3" fillId="3" fontId="4" numFmtId="0" xfId="0" applyAlignment="1" applyBorder="1" applyFont="1">
      <alignment horizontal="right" vertical="bottom"/>
    </xf>
    <xf borderId="3" fillId="0" fontId="4" numFmtId="0" xfId="0" applyAlignment="1" applyBorder="1" applyFont="1">
      <alignment shrinkToFit="0" vertical="bottom" wrapText="1"/>
    </xf>
    <xf borderId="3" fillId="0" fontId="4" numFmtId="0" xfId="0" applyAlignment="1" applyBorder="1" applyFont="1">
      <alignment horizontal="center" shrinkToFit="0" vertical="bottom" wrapText="1"/>
    </xf>
    <xf borderId="3" fillId="17" fontId="4" numFmtId="0" xfId="0" applyAlignment="1" applyBorder="1" applyFont="1">
      <alignment horizontal="center" shrinkToFit="0" vertical="bottom" wrapText="1"/>
    </xf>
    <xf borderId="3" fillId="3" fontId="5" numFmtId="0" xfId="0" applyAlignment="1" applyBorder="1" applyFont="1">
      <alignment horizontal="center" shrinkToFit="0" vertical="bottom" wrapText="1"/>
    </xf>
    <xf borderId="3" fillId="3" fontId="4" numFmtId="0" xfId="0" applyAlignment="1" applyBorder="1" applyFont="1">
      <alignment horizontal="center" shrinkToFit="0" vertical="bottom" wrapText="1"/>
    </xf>
    <xf borderId="3" fillId="15" fontId="4" numFmtId="0" xfId="0" applyAlignment="1" applyBorder="1" applyFont="1">
      <alignment horizontal="center" shrinkToFit="0" vertical="bottom" wrapText="1"/>
    </xf>
    <xf borderId="3" fillId="0" fontId="11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44.86"/>
    <col customWidth="1" min="3" max="3" width="24.29"/>
    <col customWidth="1" min="4" max="4" width="19.86"/>
    <col customWidth="1" min="5" max="5" width="8.71"/>
    <col customWidth="1" min="6" max="6" width="11.43"/>
    <col customWidth="1" min="7" max="7" width="8.71"/>
    <col customWidth="1" min="8" max="8" width="12.14"/>
    <col customWidth="1" min="9" max="9" width="11.43"/>
    <col customWidth="1" min="10" max="10" width="9.57"/>
    <col customWidth="1" min="11" max="11" width="11.29"/>
    <col customWidth="1" min="12" max="12" width="11.43"/>
    <col customWidth="1" min="13" max="13" width="7.14"/>
    <col customWidth="1" min="14" max="14" width="5.57"/>
    <col customWidth="1" min="15" max="15" width="29.86"/>
    <col customWidth="1" min="16" max="16" width="15.71"/>
    <col customWidth="1" min="17" max="27" width="8.71"/>
  </cols>
  <sheetData>
    <row r="1" ht="17.25" customHeight="1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4.25" customHeight="1">
      <c r="A2" s="6" t="s">
        <v>1</v>
      </c>
      <c r="B2" s="7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4.25" customHeight="1">
      <c r="A3" s="8" t="s">
        <v>2</v>
      </c>
      <c r="B3" s="7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4.25" customHeight="1">
      <c r="A4" s="6" t="s">
        <v>3</v>
      </c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4.25" customHeight="1">
      <c r="A5" s="8"/>
      <c r="B5" s="9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4.25" customHeight="1">
      <c r="A6" s="8"/>
      <c r="B6" s="10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4.25" customHeight="1">
      <c r="A7" s="8"/>
      <c r="B7" s="5"/>
      <c r="C7" s="5"/>
      <c r="D7" s="5"/>
      <c r="E7" s="11" t="s">
        <v>4</v>
      </c>
      <c r="F7" s="12"/>
      <c r="G7" s="12"/>
      <c r="H7" s="12"/>
      <c r="I7" s="12"/>
      <c r="J7" s="12"/>
      <c r="K7" s="12"/>
      <c r="L7" s="2"/>
      <c r="M7" s="13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4.25" customHeight="1">
      <c r="A8" s="8"/>
      <c r="B8" s="5"/>
      <c r="C8" s="5"/>
      <c r="D8" s="5"/>
      <c r="E8" s="14" t="s">
        <v>5</v>
      </c>
      <c r="F8" s="2"/>
      <c r="G8" s="15"/>
      <c r="H8" s="14" t="s">
        <v>5</v>
      </c>
      <c r="I8" s="2"/>
      <c r="J8" s="15"/>
      <c r="K8" s="14" t="s">
        <v>5</v>
      </c>
      <c r="L8" s="2"/>
      <c r="M8" s="1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4.25" customHeight="1">
      <c r="A9" s="8"/>
      <c r="B9" s="10"/>
      <c r="C9" s="5"/>
      <c r="D9" s="5"/>
      <c r="E9" s="8" t="s">
        <v>6</v>
      </c>
      <c r="F9" s="5">
        <f t="shared" ref="F9:F16" si="1">SUMIF($E$26:$E$995, E9, $H$26:$H$995)</f>
        <v>0</v>
      </c>
      <c r="G9" s="16"/>
      <c r="H9" s="8" t="s">
        <v>7</v>
      </c>
      <c r="I9" s="5">
        <f t="shared" ref="I9:I16" si="2">SUMIF($E$26:$E$995, H9, $H$26:$H$995)</f>
        <v>0</v>
      </c>
      <c r="J9" s="16"/>
      <c r="K9" s="8" t="s">
        <v>8</v>
      </c>
      <c r="L9" s="5">
        <f>SUMIF($E$26:$E$995, K9, $H$26:$H$995)</f>
        <v>0</v>
      </c>
      <c r="M9" s="1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4.25" customHeight="1">
      <c r="A10" s="8"/>
      <c r="B10" s="10"/>
      <c r="C10" s="5"/>
      <c r="D10" s="5"/>
      <c r="E10" s="8" t="s">
        <v>9</v>
      </c>
      <c r="F10" s="5">
        <f t="shared" si="1"/>
        <v>0</v>
      </c>
      <c r="G10" s="16"/>
      <c r="H10" s="8" t="s">
        <v>10</v>
      </c>
      <c r="I10" s="5">
        <f t="shared" si="2"/>
        <v>0</v>
      </c>
      <c r="J10" s="16"/>
      <c r="K10" s="5"/>
      <c r="L10" s="5"/>
      <c r="M10" s="16"/>
      <c r="N10" s="5"/>
      <c r="O10" s="5" t="s">
        <v>11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4.25" customHeight="1">
      <c r="A11" s="8"/>
      <c r="B11" s="10"/>
      <c r="C11" s="5"/>
      <c r="D11" s="5"/>
      <c r="E11" s="8" t="s">
        <v>12</v>
      </c>
      <c r="F11" s="5">
        <f t="shared" si="1"/>
        <v>0</v>
      </c>
      <c r="G11" s="16"/>
      <c r="H11" s="8" t="s">
        <v>13</v>
      </c>
      <c r="I11" s="5">
        <f t="shared" si="2"/>
        <v>0</v>
      </c>
      <c r="J11" s="16"/>
      <c r="K11" s="5"/>
      <c r="L11" s="5"/>
      <c r="M11" s="1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4.25" customHeight="1">
      <c r="A12" s="8"/>
      <c r="B12" s="10"/>
      <c r="C12" s="5"/>
      <c r="D12" s="5"/>
      <c r="E12" s="8" t="s">
        <v>14</v>
      </c>
      <c r="F12" s="5">
        <f t="shared" si="1"/>
        <v>0</v>
      </c>
      <c r="G12" s="16"/>
      <c r="H12" s="8" t="s">
        <v>15</v>
      </c>
      <c r="I12" s="5">
        <f t="shared" si="2"/>
        <v>0</v>
      </c>
      <c r="J12" s="16"/>
      <c r="K12" s="5"/>
      <c r="L12" s="5"/>
      <c r="M12" s="1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4.25" customHeight="1">
      <c r="A13" s="8"/>
      <c r="B13" s="10"/>
      <c r="C13" s="5"/>
      <c r="D13" s="5"/>
      <c r="E13" s="8" t="s">
        <v>16</v>
      </c>
      <c r="F13" s="5">
        <f t="shared" si="1"/>
        <v>0</v>
      </c>
      <c r="G13" s="16"/>
      <c r="H13" s="8" t="s">
        <v>17</v>
      </c>
      <c r="I13" s="5">
        <f t="shared" si="2"/>
        <v>0</v>
      </c>
      <c r="J13" s="16"/>
      <c r="K13" s="5"/>
      <c r="L13" s="5"/>
      <c r="M13" s="1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4.25" customHeight="1">
      <c r="A14" s="8"/>
      <c r="B14" s="10"/>
      <c r="C14" s="5"/>
      <c r="D14" s="5"/>
      <c r="E14" s="8" t="s">
        <v>18</v>
      </c>
      <c r="F14" s="5">
        <f t="shared" si="1"/>
        <v>0</v>
      </c>
      <c r="G14" s="16"/>
      <c r="H14" s="8" t="s">
        <v>19</v>
      </c>
      <c r="I14" s="5">
        <f t="shared" si="2"/>
        <v>0</v>
      </c>
      <c r="J14" s="16"/>
      <c r="K14" s="5"/>
      <c r="L14" s="5"/>
      <c r="M14" s="1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4.25" customHeight="1">
      <c r="A15" s="8"/>
      <c r="B15" s="10"/>
      <c r="C15" s="5"/>
      <c r="D15" s="5"/>
      <c r="E15" s="8" t="s">
        <v>20</v>
      </c>
      <c r="F15" s="5">
        <f t="shared" si="1"/>
        <v>0</v>
      </c>
      <c r="G15" s="16"/>
      <c r="H15" s="8" t="s">
        <v>21</v>
      </c>
      <c r="I15" s="5">
        <f t="shared" si="2"/>
        <v>0</v>
      </c>
      <c r="J15" s="16"/>
      <c r="K15" s="5"/>
      <c r="L15" s="5"/>
      <c r="M15" s="1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4.25" customHeight="1">
      <c r="A16" s="8"/>
      <c r="B16" s="10"/>
      <c r="C16" s="5"/>
      <c r="D16" s="5"/>
      <c r="E16" s="8" t="s">
        <v>22</v>
      </c>
      <c r="F16" s="5">
        <f t="shared" si="1"/>
        <v>0</v>
      </c>
      <c r="G16" s="17"/>
      <c r="H16" s="8" t="s">
        <v>23</v>
      </c>
      <c r="I16" s="5">
        <f t="shared" si="2"/>
        <v>0</v>
      </c>
      <c r="J16" s="17"/>
      <c r="K16" s="5"/>
      <c r="L16" s="5"/>
      <c r="M16" s="17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4.25" customHeight="1">
      <c r="A17" s="8"/>
      <c r="B17" s="18" t="s">
        <v>24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4.25" customHeight="1">
      <c r="A18" s="19" t="s">
        <v>25</v>
      </c>
      <c r="B18" s="20">
        <f>SUMIFS(H26:H995, P26:P995, "PENDING") + SUMIFS(H26:H995, P26:P995, "SOLD") + SUMIFS(H26:H995, P26:P995, "CATALOGUED")</f>
        <v>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4.25" customHeight="1">
      <c r="A19" s="21" t="s">
        <v>26</v>
      </c>
      <c r="B19" s="22">
        <f>SUMIFS(H26:H995, P26:P995, "SOLD")</f>
        <v>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0" customHeight="1">
      <c r="A20" s="23" t="s">
        <v>27</v>
      </c>
      <c r="B20" s="24">
        <f>SUMIF($P$26:$P$995, "PENDING", $H$26:$H$995)</f>
        <v>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4.25" customHeight="1">
      <c r="A21" s="25" t="s">
        <v>28</v>
      </c>
      <c r="B21" s="26">
        <f>SUMIF($P$26:$P$995, "CATALOGUED", $H$26:$H$995)</f>
        <v>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4.25" customHeight="1">
      <c r="A22" s="27" t="s">
        <v>29</v>
      </c>
      <c r="B22" s="28" t="s">
        <v>30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4.25" customHeight="1">
      <c r="A23" s="29"/>
      <c r="B23" s="10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4.2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0" customHeight="1">
      <c r="A25" s="31" t="s">
        <v>31</v>
      </c>
      <c r="B25" s="31" t="s">
        <v>32</v>
      </c>
      <c r="C25" s="31" t="s">
        <v>33</v>
      </c>
      <c r="D25" s="31" t="s">
        <v>34</v>
      </c>
      <c r="E25" s="31" t="s">
        <v>35</v>
      </c>
      <c r="F25" s="31" t="s">
        <v>36</v>
      </c>
      <c r="G25" s="31" t="s">
        <v>37</v>
      </c>
      <c r="H25" s="31" t="s">
        <v>38</v>
      </c>
      <c r="I25" s="31" t="s">
        <v>39</v>
      </c>
      <c r="J25" s="31" t="s">
        <v>40</v>
      </c>
      <c r="K25" s="31" t="s">
        <v>41</v>
      </c>
      <c r="L25" s="31" t="s">
        <v>42</v>
      </c>
      <c r="M25" s="31" t="s">
        <v>43</v>
      </c>
      <c r="N25" s="31" t="s">
        <v>44</v>
      </c>
      <c r="O25" s="31" t="s">
        <v>45</v>
      </c>
      <c r="P25" s="31" t="s">
        <v>46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0" customHeight="1">
      <c r="A26" s="32"/>
      <c r="B26" s="5"/>
      <c r="C26" s="5"/>
      <c r="D26" s="5"/>
      <c r="E26" s="33"/>
      <c r="F26" s="34"/>
      <c r="G26" s="34"/>
      <c r="H26" s="34"/>
      <c r="I26" s="34"/>
      <c r="J26" s="34"/>
      <c r="K26" s="5"/>
      <c r="L26" s="5"/>
      <c r="M26" s="5"/>
      <c r="N26" s="34"/>
      <c r="O26" s="5"/>
      <c r="P26" s="3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0" customHeight="1">
      <c r="A27" s="32"/>
      <c r="B27" s="5"/>
      <c r="C27" s="5"/>
      <c r="D27" s="5"/>
      <c r="E27" s="36"/>
      <c r="F27" s="34"/>
      <c r="G27" s="34"/>
      <c r="H27" s="34"/>
      <c r="I27" s="34"/>
      <c r="J27" s="34"/>
      <c r="K27" s="5"/>
      <c r="L27" s="5"/>
      <c r="M27" s="5"/>
      <c r="N27" s="34"/>
      <c r="O27" s="5"/>
      <c r="P27" s="3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0" customHeight="1">
      <c r="A28" s="32"/>
      <c r="B28" s="5"/>
      <c r="C28" s="5"/>
      <c r="D28" s="5"/>
      <c r="E28" s="33"/>
      <c r="F28" s="34"/>
      <c r="G28" s="34"/>
      <c r="H28" s="34"/>
      <c r="I28" s="34"/>
      <c r="J28" s="34"/>
      <c r="K28" s="5"/>
      <c r="L28" s="5"/>
      <c r="M28" s="5"/>
      <c r="N28" s="34"/>
      <c r="O28" s="5"/>
      <c r="P28" s="3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0" customHeight="1">
      <c r="A29" s="32"/>
      <c r="B29" s="5"/>
      <c r="C29" s="5"/>
      <c r="D29" s="5"/>
      <c r="E29" s="36"/>
      <c r="F29" s="34"/>
      <c r="G29" s="34"/>
      <c r="H29" s="34"/>
      <c r="I29" s="34"/>
      <c r="J29" s="34"/>
      <c r="K29" s="5"/>
      <c r="L29" s="5"/>
      <c r="M29" s="5"/>
      <c r="N29" s="34"/>
      <c r="O29" s="5"/>
      <c r="P29" s="3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0" customHeight="1">
      <c r="A30" s="32"/>
      <c r="B30" s="5"/>
      <c r="C30" s="5"/>
      <c r="D30" s="5"/>
      <c r="E30" s="33"/>
      <c r="F30" s="34"/>
      <c r="G30" s="34"/>
      <c r="H30" s="34"/>
      <c r="I30" s="34"/>
      <c r="J30" s="34"/>
      <c r="K30" s="5"/>
      <c r="L30" s="5"/>
      <c r="M30" s="5"/>
      <c r="N30" s="34"/>
      <c r="O30" s="5"/>
      <c r="P30" s="3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0" customHeight="1">
      <c r="A31" s="32"/>
      <c r="B31" s="32"/>
      <c r="C31" s="32"/>
      <c r="D31" s="32"/>
      <c r="E31" s="32"/>
      <c r="F31" s="37"/>
      <c r="G31" s="37"/>
      <c r="H31" s="37"/>
      <c r="I31" s="32"/>
      <c r="J31" s="37"/>
      <c r="K31" s="32"/>
      <c r="L31" s="32"/>
      <c r="M31" s="32"/>
      <c r="N31" s="32"/>
      <c r="O31" s="32"/>
      <c r="P31" s="29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0" customHeight="1">
      <c r="A32" s="32"/>
      <c r="B32" s="5"/>
      <c r="C32" s="5"/>
      <c r="D32" s="5"/>
      <c r="E32" s="33"/>
      <c r="F32" s="34"/>
      <c r="G32" s="34"/>
      <c r="H32" s="34"/>
      <c r="I32" s="34"/>
      <c r="J32" s="34"/>
      <c r="K32" s="5"/>
      <c r="L32" s="5"/>
      <c r="M32" s="5"/>
      <c r="N32" s="34"/>
      <c r="O32" s="5"/>
      <c r="P32" s="3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0" customHeight="1">
      <c r="A33" s="32"/>
      <c r="B33" s="5"/>
      <c r="C33" s="5"/>
      <c r="D33" s="5"/>
      <c r="E33" s="36"/>
      <c r="F33" s="34"/>
      <c r="G33" s="34"/>
      <c r="H33" s="34"/>
      <c r="I33" s="34"/>
      <c r="J33" s="34"/>
      <c r="K33" s="5"/>
      <c r="L33" s="5"/>
      <c r="M33" s="5"/>
      <c r="N33" s="34"/>
      <c r="O33" s="5"/>
      <c r="P33" s="3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0" customHeight="1">
      <c r="A34" s="32"/>
      <c r="B34" s="32"/>
      <c r="C34" s="32"/>
      <c r="D34" s="32"/>
      <c r="E34" s="32"/>
      <c r="F34" s="37"/>
      <c r="G34" s="37"/>
      <c r="H34" s="37"/>
      <c r="I34" s="37"/>
      <c r="J34" s="37"/>
      <c r="K34" s="32"/>
      <c r="L34" s="32"/>
      <c r="M34" s="32"/>
      <c r="N34" s="37"/>
      <c r="O34" s="32"/>
      <c r="P34" s="29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0" customHeight="1">
      <c r="A35" s="32"/>
      <c r="B35" s="32"/>
      <c r="C35" s="32"/>
      <c r="D35" s="32"/>
      <c r="E35" s="32"/>
      <c r="F35" s="37"/>
      <c r="G35" s="37"/>
      <c r="H35" s="37"/>
      <c r="I35" s="37"/>
      <c r="J35" s="37"/>
      <c r="K35" s="32"/>
      <c r="L35" s="32"/>
      <c r="M35" s="32"/>
      <c r="N35" s="37"/>
      <c r="O35" s="32"/>
      <c r="P35" s="29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0" customHeight="1">
      <c r="A36" s="32"/>
      <c r="B36" s="32"/>
      <c r="C36" s="32"/>
      <c r="D36" s="32"/>
      <c r="E36" s="32"/>
      <c r="F36" s="37"/>
      <c r="G36" s="37"/>
      <c r="H36" s="37"/>
      <c r="I36" s="37"/>
      <c r="J36" s="37"/>
      <c r="K36" s="32"/>
      <c r="L36" s="32"/>
      <c r="M36" s="32"/>
      <c r="N36" s="37"/>
      <c r="O36" s="32"/>
      <c r="P36" s="29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0" customHeight="1">
      <c r="A37" s="32"/>
      <c r="B37" s="32"/>
      <c r="C37" s="32"/>
      <c r="D37" s="32"/>
      <c r="E37" s="32"/>
      <c r="F37" s="37"/>
      <c r="G37" s="37"/>
      <c r="H37" s="37"/>
      <c r="I37" s="37"/>
      <c r="J37" s="37"/>
      <c r="K37" s="32"/>
      <c r="L37" s="32"/>
      <c r="M37" s="32"/>
      <c r="N37" s="37"/>
      <c r="O37" s="32"/>
      <c r="P37" s="29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0" customHeight="1">
      <c r="A38" s="32"/>
      <c r="B38" s="32"/>
      <c r="C38" s="32"/>
      <c r="D38" s="32"/>
      <c r="E38" s="32"/>
      <c r="F38" s="37"/>
      <c r="G38" s="37"/>
      <c r="H38" s="37"/>
      <c r="I38" s="37"/>
      <c r="J38" s="37"/>
      <c r="K38" s="32"/>
      <c r="L38" s="32"/>
      <c r="M38" s="32"/>
      <c r="N38" s="37"/>
      <c r="O38" s="32"/>
      <c r="P38" s="29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ht="15.0" customHeight="1">
      <c r="A39" s="32"/>
      <c r="B39" s="32"/>
      <c r="C39" s="32"/>
      <c r="D39" s="32"/>
      <c r="E39" s="32"/>
      <c r="F39" s="37"/>
      <c r="G39" s="37"/>
      <c r="H39" s="37"/>
      <c r="I39" s="32"/>
      <c r="J39" s="37"/>
      <c r="K39" s="32"/>
      <c r="L39" s="32"/>
      <c r="M39" s="32"/>
      <c r="N39" s="32"/>
      <c r="O39" s="32"/>
      <c r="P39" s="29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0" customHeight="1">
      <c r="A40" s="32"/>
      <c r="B40" s="32"/>
      <c r="C40" s="32"/>
      <c r="D40" s="32"/>
      <c r="E40" s="32"/>
      <c r="F40" s="37"/>
      <c r="G40" s="37"/>
      <c r="H40" s="37"/>
      <c r="I40" s="37"/>
      <c r="J40" s="37"/>
      <c r="K40" s="32"/>
      <c r="L40" s="32"/>
      <c r="M40" s="32"/>
      <c r="N40" s="37"/>
      <c r="O40" s="32"/>
      <c r="P40" s="29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0" customHeight="1">
      <c r="A41" s="32"/>
      <c r="B41" s="32"/>
      <c r="C41" s="32"/>
      <c r="D41" s="32"/>
      <c r="E41" s="32"/>
      <c r="F41" s="37"/>
      <c r="G41" s="37"/>
      <c r="H41" s="37"/>
      <c r="I41" s="37"/>
      <c r="J41" s="37"/>
      <c r="K41" s="32"/>
      <c r="L41" s="32"/>
      <c r="M41" s="32"/>
      <c r="N41" s="37"/>
      <c r="O41" s="32"/>
      <c r="P41" s="29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0" customHeight="1">
      <c r="A42" s="32"/>
      <c r="B42" s="32"/>
      <c r="C42" s="32"/>
      <c r="D42" s="32"/>
      <c r="E42" s="32"/>
      <c r="F42" s="37"/>
      <c r="G42" s="37"/>
      <c r="H42" s="37"/>
      <c r="I42" s="37"/>
      <c r="J42" s="37"/>
      <c r="K42" s="32"/>
      <c r="L42" s="32"/>
      <c r="M42" s="32"/>
      <c r="N42" s="32"/>
      <c r="O42" s="32"/>
      <c r="P42" s="29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0" customHeight="1">
      <c r="A43" s="32"/>
      <c r="B43" s="32"/>
      <c r="C43" s="32"/>
      <c r="D43" s="32"/>
      <c r="E43" s="32"/>
      <c r="F43" s="37"/>
      <c r="G43" s="37"/>
      <c r="H43" s="37"/>
      <c r="I43" s="37"/>
      <c r="J43" s="37"/>
      <c r="K43" s="32"/>
      <c r="L43" s="32"/>
      <c r="M43" s="32"/>
      <c r="N43" s="37"/>
      <c r="O43" s="32"/>
      <c r="P43" s="29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0" customHeight="1">
      <c r="A44" s="32"/>
      <c r="B44" s="32"/>
      <c r="C44" s="32"/>
      <c r="D44" s="32"/>
      <c r="E44" s="32"/>
      <c r="F44" s="37"/>
      <c r="G44" s="37"/>
      <c r="H44" s="37"/>
      <c r="I44" s="37"/>
      <c r="J44" s="37"/>
      <c r="K44" s="32"/>
      <c r="L44" s="32"/>
      <c r="M44" s="32"/>
      <c r="N44" s="37"/>
      <c r="O44" s="32"/>
      <c r="P44" s="29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0" customHeight="1">
      <c r="A45" s="32"/>
      <c r="B45" s="32"/>
      <c r="C45" s="32"/>
      <c r="D45" s="32"/>
      <c r="E45" s="32"/>
      <c r="F45" s="37"/>
      <c r="G45" s="37"/>
      <c r="H45" s="37"/>
      <c r="I45" s="32"/>
      <c r="J45" s="37"/>
      <c r="K45" s="32"/>
      <c r="L45" s="32"/>
      <c r="M45" s="32"/>
      <c r="N45" s="32"/>
      <c r="O45" s="32"/>
      <c r="P45" s="29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0" customHeight="1">
      <c r="A46" s="32"/>
      <c r="B46" s="32"/>
      <c r="C46" s="32"/>
      <c r="D46" s="32"/>
      <c r="E46" s="32"/>
      <c r="F46" s="37"/>
      <c r="G46" s="37"/>
      <c r="H46" s="37"/>
      <c r="I46" s="37"/>
      <c r="J46" s="37"/>
      <c r="K46" s="32"/>
      <c r="L46" s="32"/>
      <c r="M46" s="32"/>
      <c r="N46" s="37"/>
      <c r="O46" s="32"/>
      <c r="P46" s="29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0" customHeight="1">
      <c r="A47" s="32"/>
      <c r="B47" s="32"/>
      <c r="C47" s="32"/>
      <c r="D47" s="32"/>
      <c r="E47" s="32"/>
      <c r="F47" s="37"/>
      <c r="G47" s="37"/>
      <c r="H47" s="37"/>
      <c r="I47" s="32"/>
      <c r="J47" s="37"/>
      <c r="K47" s="32"/>
      <c r="L47" s="32"/>
      <c r="M47" s="32"/>
      <c r="N47" s="32"/>
      <c r="O47" s="32"/>
      <c r="P47" s="29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0" customHeight="1">
      <c r="A48" s="32"/>
      <c r="B48" s="32"/>
      <c r="C48" s="32"/>
      <c r="D48" s="32"/>
      <c r="E48" s="32"/>
      <c r="F48" s="37"/>
      <c r="G48" s="37"/>
      <c r="H48" s="37"/>
      <c r="I48" s="37"/>
      <c r="J48" s="37"/>
      <c r="K48" s="32"/>
      <c r="L48" s="32"/>
      <c r="M48" s="32"/>
      <c r="N48" s="37"/>
      <c r="O48" s="32"/>
      <c r="P48" s="29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0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29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0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29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0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29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0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29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0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29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0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29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0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29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0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29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0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29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0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29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0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29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0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29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0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29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0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29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0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29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0" customHeight="1">
      <c r="A64" s="32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29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0" customHeight="1">
      <c r="A65" s="32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29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0" customHeight="1">
      <c r="A66" s="32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29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0" customHeight="1">
      <c r="A67" s="32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29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0" customHeight="1">
      <c r="A68" s="32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29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0" customHeight="1">
      <c r="A69" s="32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29"/>
      <c r="Q69" s="38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0" customHeight="1">
      <c r="A70" s="32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29"/>
      <c r="Q70" s="38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0" customHeight="1">
      <c r="A71" s="32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29"/>
      <c r="Q71" s="38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0" customHeight="1">
      <c r="A72" s="32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29"/>
      <c r="Q72" s="38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0" customHeight="1">
      <c r="A73" s="32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29"/>
      <c r="Q73" s="38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0" customHeight="1">
      <c r="A74" s="32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29"/>
      <c r="Q74" s="38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0" customHeight="1">
      <c r="A75" s="32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29"/>
      <c r="Q75" s="38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0" customHeight="1">
      <c r="A76" s="39"/>
      <c r="B76" s="39"/>
      <c r="C76" s="39"/>
      <c r="D76" s="39"/>
      <c r="E76" s="40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41"/>
      <c r="Q76" s="38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0" customHeight="1">
      <c r="A77" s="42"/>
      <c r="B77" s="39"/>
      <c r="C77" s="39"/>
      <c r="D77" s="39"/>
      <c r="E77" s="43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41"/>
      <c r="Q77" s="38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0" customHeight="1">
      <c r="A78" s="42"/>
      <c r="B78" s="39"/>
      <c r="C78" s="39"/>
      <c r="D78" s="39"/>
      <c r="E78" s="40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41"/>
      <c r="Q78" s="38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0" customHeight="1">
      <c r="A79" s="42"/>
      <c r="B79" s="39"/>
      <c r="C79" s="39"/>
      <c r="D79" s="39"/>
      <c r="E79" s="43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41"/>
      <c r="Q79" s="38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0" customHeight="1">
      <c r="A80" s="42"/>
      <c r="B80" s="39"/>
      <c r="C80" s="39"/>
      <c r="D80" s="39"/>
      <c r="E80" s="40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41"/>
      <c r="Q80" s="38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0" customHeight="1">
      <c r="A81" s="42"/>
      <c r="B81" s="39"/>
      <c r="C81" s="39"/>
      <c r="D81" s="39"/>
      <c r="E81" s="43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41"/>
      <c r="Q81" s="38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0" customHeight="1">
      <c r="A82" s="42"/>
      <c r="B82" s="39"/>
      <c r="C82" s="39"/>
      <c r="D82" s="39"/>
      <c r="E82" s="40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41"/>
      <c r="Q82" s="38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0" customHeight="1">
      <c r="A83" s="42"/>
      <c r="B83" s="39"/>
      <c r="C83" s="39"/>
      <c r="D83" s="39"/>
      <c r="E83" s="43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41"/>
      <c r="Q83" s="38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0" customHeight="1">
      <c r="A84" s="42"/>
      <c r="B84" s="39"/>
      <c r="C84" s="39"/>
      <c r="D84" s="39"/>
      <c r="E84" s="40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41"/>
      <c r="Q84" s="38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0" customHeight="1">
      <c r="A85" s="42"/>
      <c r="B85" s="39"/>
      <c r="C85" s="39"/>
      <c r="D85" s="39"/>
      <c r="E85" s="43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41"/>
      <c r="Q85" s="38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0" customHeight="1">
      <c r="A86" s="42"/>
      <c r="B86" s="39"/>
      <c r="C86" s="39"/>
      <c r="D86" s="39"/>
      <c r="E86" s="40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41"/>
      <c r="Q86" s="38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0" customHeight="1">
      <c r="A87" s="42"/>
      <c r="B87" s="39"/>
      <c r="C87" s="39"/>
      <c r="D87" s="39"/>
      <c r="E87" s="43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41"/>
      <c r="Q87" s="38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0" customHeight="1">
      <c r="A88" s="42"/>
      <c r="B88" s="39"/>
      <c r="C88" s="39"/>
      <c r="D88" s="39"/>
      <c r="E88" s="40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41"/>
      <c r="Q88" s="38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0" customHeight="1">
      <c r="A89" s="42"/>
      <c r="B89" s="39"/>
      <c r="C89" s="39"/>
      <c r="D89" s="39"/>
      <c r="E89" s="43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41"/>
      <c r="Q89" s="38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0" customHeight="1">
      <c r="A90" s="42"/>
      <c r="B90" s="39"/>
      <c r="C90" s="39"/>
      <c r="D90" s="39"/>
      <c r="E90" s="40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41"/>
      <c r="Q90" s="38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0" customHeight="1">
      <c r="A91" s="42"/>
      <c r="B91" s="39"/>
      <c r="C91" s="39"/>
      <c r="D91" s="39"/>
      <c r="E91" s="43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41"/>
      <c r="Q91" s="38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0" customHeight="1">
      <c r="A92" s="42"/>
      <c r="B92" s="39"/>
      <c r="C92" s="39"/>
      <c r="D92" s="39"/>
      <c r="E92" s="40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41"/>
      <c r="Q92" s="38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0" customHeight="1">
      <c r="A93" s="42"/>
      <c r="B93" s="39"/>
      <c r="C93" s="39"/>
      <c r="D93" s="39"/>
      <c r="E93" s="43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41"/>
      <c r="Q93" s="38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0" customHeight="1">
      <c r="A94" s="42"/>
      <c r="B94" s="39"/>
      <c r="C94" s="39"/>
      <c r="D94" s="39"/>
      <c r="E94" s="40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41"/>
      <c r="Q94" s="38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0" customHeight="1">
      <c r="A95" s="42"/>
      <c r="B95" s="39"/>
      <c r="C95" s="39"/>
      <c r="D95" s="39"/>
      <c r="E95" s="43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41"/>
      <c r="Q95" s="38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0" customHeight="1">
      <c r="A96" s="42"/>
      <c r="B96" s="39"/>
      <c r="C96" s="39"/>
      <c r="D96" s="39"/>
      <c r="E96" s="40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41"/>
      <c r="Q96" s="38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0" customHeight="1">
      <c r="A97" s="42"/>
      <c r="B97" s="39"/>
      <c r="C97" s="39"/>
      <c r="D97" s="39"/>
      <c r="E97" s="43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41"/>
      <c r="Q97" s="38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0" customHeight="1">
      <c r="A98" s="42"/>
      <c r="B98" s="39"/>
      <c r="C98" s="39"/>
      <c r="D98" s="39"/>
      <c r="E98" s="40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41"/>
      <c r="Q98" s="38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0" customHeight="1">
      <c r="A99" s="44"/>
      <c r="B99" s="39"/>
      <c r="C99" s="39"/>
      <c r="D99" s="39"/>
      <c r="E99" s="43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41"/>
      <c r="Q99" s="38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4.2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7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4.2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7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4.2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7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4.2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7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4.2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7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4.2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7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4.2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7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4.2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7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4.2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4.2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4.2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4.2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</sheetData>
  <mergeCells count="8">
    <mergeCell ref="A1:B1"/>
    <mergeCell ref="E7:L7"/>
    <mergeCell ref="M7:M16"/>
    <mergeCell ref="G8:G16"/>
    <mergeCell ref="J8:J16"/>
    <mergeCell ref="E8:F8"/>
    <mergeCell ref="H8:I8"/>
    <mergeCell ref="K8:L8"/>
  </mergeCells>
  <dataValidations>
    <dataValidation type="list" allowBlank="1" showErrorMessage="1" sqref="P26:P30 P32:P38 P40:P75">
      <formula1>status</formula1>
    </dataValidation>
    <dataValidation type="decimal" allowBlank="1" showErrorMessage="1" sqref="I26:I75">
      <formula1>1.0</formula1>
      <formula2>43.0</formula2>
    </dataValidation>
  </dataValidations>
  <printOptions/>
  <pageMargins bottom="0.75" footer="0.0" header="0.0" left="0.7" right="0.7" top="0.75"/>
  <pageSetup paperSize="9" scale="5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2025-04-07T08:01:28Z</dcterms:created>
  <dc:creator>Ian Matu</dc:creator>
</cp:coreProperties>
</file>